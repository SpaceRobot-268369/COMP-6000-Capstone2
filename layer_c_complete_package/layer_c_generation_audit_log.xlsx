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51c6d6189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Audit" sheetId="1" r:id="Rf4908d715fbd437e"/>
    <x:sheet xmlns:r="http://schemas.openxmlformats.org/officeDocument/2006/relationships" name="Summary" sheetId="2" r:id="R9870fffcbc1d470b"/>
    <x:sheet xmlns:r="http://schemas.openxmlformats.org/officeDocument/2006/relationships" name="Validation" sheetId="3" r:id="Rabedef78af5e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b006abf0b4a98" /><Relationship Type="http://schemas.openxmlformats.org/officeDocument/2006/relationships/theme" Target="/xl/theme/theme1.xml" Id="R0c810525a8e84a96" /><Relationship Type="http://schemas.openxmlformats.org/officeDocument/2006/relationships/sharedStrings" Target="/xl/sharedStrings.xml" Id="R7852db515d3e4f24" /><Relationship Type="http://schemas.openxmlformats.org/officeDocument/2006/relationships/worksheet" Target="/xl/worksheets/sheet1.xml" Id="Rf4908d715fbd437e" /><Relationship Type="http://schemas.openxmlformats.org/officeDocument/2006/relationships/worksheet" Target="/xl/worksheets/sheet2.xml" Id="R9870fffcbc1d470b" /><Relationship Type="http://schemas.openxmlformats.org/officeDocument/2006/relationships/worksheet" Target="/xl/worksheets/sheet3.xml" Id="Rabedef78af5e4a37" /></Relationships>
</file>

<file path=xl/tables/table1.xml><?xml version="1.0" encoding="utf-8"?>
<x:table xmlns:x="http://schemas.openxmlformats.org/spreadsheetml/2006/main" id="1" name="GenerationAuditTable" displayName="GenerationAuditTable" ref="A1:I31" headerRowCount="1">
  <x:tableColumns count="9">
    <x:tableColumn id="1" name="filename"/>
    <x:tableColumn id="2" name="scene"/>
    <x:tableColumn id="3" name="prompt"/>
    <x:tableColumn id="4" name="duration_sec"/>
    <x:tableColumn id="5" name="pass_fail"/>
    <x:tableColumn id="6" name="reason"/>
    <x:tableColumn id="7" name="notes"/>
    <x:tableColumn id="8" name="auditor"/>
    <x:tableColumn id="9" name="audit_date"/>
  </x:tableColumns>
  <x:tableStyleInfo name="TableStyleMedium2" showRowStripes="1"/>
</x:table>
</file>

<file path=xl/tables/table2.xml><?xml version="1.0" encoding="utf-8"?>
<x:table xmlns:x="http://schemas.openxmlformats.org/spreadsheetml/2006/main" id="2" name="GenSceneSummaryTable" displayName="GenSceneSummaryTable" ref="A10:E13" headerRowCount="1">
  <x:tableColumns count="5">
    <x:tableColumn id="1" name="Scene"/>
    <x:tableColumn id="2" name="Generated Count"/>
    <x:tableColumn id="3" name="PASS Count"/>
    <x:tableColumn id="4" name="FAIL Count"/>
    <x:tableColumn id="5" name="Pass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c418c43f8248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bcf94b1b5c429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4" hidden="0" customWidth="1"/>
    <x:col min="4" max="4" width="12" hidden="0" customWidth="1"/>
    <x:col min="5" max="5" width="16" hidden="0" customWidth="1"/>
    <x:col min="6" max="6" width="18" hidden="0" customWidth="1"/>
    <x:col min="7" max="7" width="36" hidden="0" customWidth="1"/>
    <x:col min="8" max="8" width="16" hidden="0" customWidth="1"/>
    <x:col min="9" max="9" width="16" hidden="0" customWidth="1"/>
  </x:cols>
  <x:sheetData>
    <x:row r="1">
      <x:c r="A1" s="8" t="str">
        <x:v>filename</x:v>
      </x:c>
      <x:c r="B1" s="8" t="str">
        <x:v>scene</x:v>
      </x:c>
      <x:c r="C1" s="8" t="str">
        <x:v>prompt</x:v>
      </x:c>
      <x:c r="D1" s="8" t="str">
        <x:v>duration_sec</x:v>
      </x:c>
      <x:c r="E1" s="8" t="str">
        <x:v>pass_fail</x:v>
      </x:c>
      <x:c r="F1" s="8" t="str">
        <x:v>reason</x:v>
      </x:c>
      <x:c r="G1" s="8" t="str">
        <x:v>notes</x:v>
      </x:c>
      <x:c r="H1" s="8" t="str">
        <x:v>auditor</x:v>
      </x:c>
      <x:c r="I1" s="8" t="str">
        <x:v>audit_date</x:v>
      </x:c>
    </x:row>
    <x:row r="2">
      <x:c r="A2" t="str">
        <x:v>gen_summer_rain_001.wav</x:v>
      </x:c>
      <x:c r="B2" t="str">
        <x:v>summer_rain</x:v>
      </x:c>
      <x:c r="C2" t="str">
        <x:v>summer rain afternoon</x:v>
      </x:c>
      <x:c r="D2" t="n">
        <x:v>30</x:v>
      </x:c>
      <x:c r="E2" t="str"/>
      <x:c r="F2" t="str"/>
      <x:c r="G2" t="str"/>
      <x:c r="H2" t="str"/>
      <x:c r="I2" s="10" t="str"/>
    </x:row>
    <x:row r="3">
      <x:c r="A3" t="str">
        <x:v>gen_summer_rain_002.wav</x:v>
      </x:c>
      <x:c r="B3" t="str">
        <x:v>summer_rain</x:v>
      </x:c>
      <x:c r="C3" t="str">
        <x:v>summer rain afternoon</x:v>
      </x:c>
      <x:c r="D3" t="n">
        <x:v>30</x:v>
      </x:c>
      <x:c r="E3" t="str"/>
      <x:c r="F3" t="str"/>
      <x:c r="G3" t="str"/>
      <x:c r="H3" t="str"/>
      <x:c r="I3" s="10" t="str"/>
    </x:row>
    <x:row r="4">
      <x:c r="A4" t="str">
        <x:v>gen_summer_rain_003.wav</x:v>
      </x:c>
      <x:c r="B4" t="str">
        <x:v>summer_rain</x:v>
      </x:c>
      <x:c r="C4" t="str">
        <x:v>summer rain afternoon</x:v>
      </x:c>
      <x:c r="D4" t="n">
        <x:v>30</x:v>
      </x:c>
      <x:c r="E4" t="str"/>
      <x:c r="F4" t="str"/>
      <x:c r="G4" t="str"/>
      <x:c r="H4" t="str"/>
      <x:c r="I4" s="10" t="str"/>
    </x:row>
    <x:row r="5">
      <x:c r="A5" t="str">
        <x:v>gen_summer_rain_004.wav</x:v>
      </x:c>
      <x:c r="B5" t="str">
        <x:v>summer_rain</x:v>
      </x:c>
      <x:c r="C5" t="str">
        <x:v>summer rain afternoon</x:v>
      </x:c>
      <x:c r="D5" t="n">
        <x:v>30</x:v>
      </x:c>
      <x:c r="E5" t="str"/>
      <x:c r="F5" t="str"/>
      <x:c r="G5" t="str"/>
      <x:c r="H5" t="str"/>
      <x:c r="I5" s="10" t="str"/>
    </x:row>
    <x:row r="6">
      <x:c r="A6" t="str">
        <x:v>gen_summer_rain_005.wav</x:v>
      </x:c>
      <x:c r="B6" t="str">
        <x:v>summer_rain</x:v>
      </x:c>
      <x:c r="C6" t="str">
        <x:v>summer rain afternoon</x:v>
      </x:c>
      <x:c r="D6" t="n">
        <x:v>30</x:v>
      </x:c>
      <x:c r="E6" t="str"/>
      <x:c r="F6" t="str"/>
      <x:c r="G6" t="str"/>
      <x:c r="H6" t="str"/>
      <x:c r="I6" s="10" t="str"/>
    </x:row>
    <x:row r="7">
      <x:c r="A7" t="str">
        <x:v>gen_summer_rain_006.wav</x:v>
      </x:c>
      <x:c r="B7" t="str">
        <x:v>summer_rain</x:v>
      </x:c>
      <x:c r="C7" t="str">
        <x:v>summer rain afternoon</x:v>
      </x:c>
      <x:c r="D7" t="n">
        <x:v>30</x:v>
      </x:c>
      <x:c r="E7" t="str"/>
      <x:c r="F7" t="str"/>
      <x:c r="G7" t="str"/>
      <x:c r="H7" t="str"/>
      <x:c r="I7" s="10" t="str"/>
    </x:row>
    <x:row r="8">
      <x:c r="A8" t="str">
        <x:v>gen_summer_rain_007.wav</x:v>
      </x:c>
      <x:c r="B8" t="str">
        <x:v>summer_rain</x:v>
      </x:c>
      <x:c r="C8" t="str">
        <x:v>summer rain afternoon</x:v>
      </x:c>
      <x:c r="D8" t="n">
        <x:v>30</x:v>
      </x:c>
      <x:c r="E8" t="str"/>
      <x:c r="F8" t="str"/>
      <x:c r="G8" t="str"/>
      <x:c r="H8" t="str"/>
      <x:c r="I8" s="10" t="str"/>
    </x:row>
    <x:row r="9">
      <x:c r="A9" t="str">
        <x:v>gen_summer_rain_008.wav</x:v>
      </x:c>
      <x:c r="B9" t="str">
        <x:v>summer_rain</x:v>
      </x:c>
      <x:c r="C9" t="str">
        <x:v>summer rain afternoon</x:v>
      </x:c>
      <x:c r="D9" t="n">
        <x:v>30</x:v>
      </x:c>
      <x:c r="E9" t="str"/>
      <x:c r="F9" t="str"/>
      <x:c r="G9" t="str"/>
      <x:c r="H9" t="str"/>
      <x:c r="I9" s="10" t="str"/>
    </x:row>
    <x:row r="10">
      <x:c r="A10" t="str">
        <x:v>gen_summer_rain_009.wav</x:v>
      </x:c>
      <x:c r="B10" t="str">
        <x:v>summer_rain</x:v>
      </x:c>
      <x:c r="C10" t="str">
        <x:v>summer rain afternoon</x:v>
      </x:c>
      <x:c r="D10" t="n">
        <x:v>30</x:v>
      </x:c>
      <x:c r="E10" t="str"/>
      <x:c r="F10" t="str"/>
      <x:c r="G10" t="str"/>
      <x:c r="H10" t="str"/>
      <x:c r="I10" s="10" t="str"/>
    </x:row>
    <x:row r="11">
      <x:c r="A11" t="str">
        <x:v>gen_summer_rain_010.wav</x:v>
      </x:c>
      <x:c r="B11" t="str">
        <x:v>summer_rain</x:v>
      </x:c>
      <x:c r="C11" t="str">
        <x:v>summer rain afternoon</x:v>
      </x:c>
      <x:c r="D11" t="n">
        <x:v>30</x:v>
      </x:c>
      <x:c r="E11" t="str"/>
      <x:c r="F11" t="str"/>
      <x:c r="G11" t="str"/>
      <x:c r="H11" t="str"/>
      <x:c r="I11" s="10" t="str"/>
    </x:row>
    <x:row r="12">
      <x:c r="A12" t="str">
        <x:v>gen_winter_snow_001.wav</x:v>
      </x:c>
      <x:c r="B12" t="str">
        <x:v>winter_snow</x:v>
      </x:c>
      <x:c r="C12" t="str">
        <x:v>winter snow night</x:v>
      </x:c>
      <x:c r="D12" t="n">
        <x:v>30</x:v>
      </x:c>
      <x:c r="E12" t="str"/>
      <x:c r="F12" t="str"/>
      <x:c r="G12" t="str"/>
      <x:c r="H12" t="str"/>
      <x:c r="I12" s="10" t="str"/>
    </x:row>
    <x:row r="13">
      <x:c r="A13" t="str">
        <x:v>gen_winter_snow_002.wav</x:v>
      </x:c>
      <x:c r="B13" t="str">
        <x:v>winter_snow</x:v>
      </x:c>
      <x:c r="C13" t="str">
        <x:v>winter snow night</x:v>
      </x:c>
      <x:c r="D13" t="n">
        <x:v>30</x:v>
      </x:c>
      <x:c r="E13" t="str"/>
      <x:c r="F13" t="str"/>
      <x:c r="G13" t="str"/>
      <x:c r="H13" t="str"/>
      <x:c r="I13" s="10" t="str"/>
    </x:row>
    <x:row r="14">
      <x:c r="A14" t="str">
        <x:v>gen_winter_snow_003.wav</x:v>
      </x:c>
      <x:c r="B14" t="str">
        <x:v>winter_snow</x:v>
      </x:c>
      <x:c r="C14" t="str">
        <x:v>winter snow night</x:v>
      </x:c>
      <x:c r="D14" t="n">
        <x:v>30</x:v>
      </x:c>
      <x:c r="E14" t="str"/>
      <x:c r="F14" t="str"/>
      <x:c r="G14" t="str"/>
      <x:c r="H14" t="str"/>
      <x:c r="I14" s="10" t="str"/>
    </x:row>
    <x:row r="15">
      <x:c r="A15" t="str">
        <x:v>gen_winter_snow_004.wav</x:v>
      </x:c>
      <x:c r="B15" t="str">
        <x:v>winter_snow</x:v>
      </x:c>
      <x:c r="C15" t="str">
        <x:v>winter snow night</x:v>
      </x:c>
      <x:c r="D15" t="n">
        <x:v>30</x:v>
      </x:c>
      <x:c r="E15" t="str"/>
      <x:c r="F15" t="str"/>
      <x:c r="G15" t="str"/>
      <x:c r="H15" t="str"/>
      <x:c r="I15" s="10" t="str"/>
    </x:row>
    <x:row r="16">
      <x:c r="A16" t="str">
        <x:v>gen_winter_snow_005.wav</x:v>
      </x:c>
      <x:c r="B16" t="str">
        <x:v>winter_snow</x:v>
      </x:c>
      <x:c r="C16" t="str">
        <x:v>winter snow night</x:v>
      </x:c>
      <x:c r="D16" t="n">
        <x:v>30</x:v>
      </x:c>
      <x:c r="E16" t="str"/>
      <x:c r="F16" t="str"/>
      <x:c r="G16" t="str"/>
      <x:c r="H16" t="str"/>
      <x:c r="I16" s="10" t="str"/>
    </x:row>
    <x:row r="17">
      <x:c r="A17" t="str">
        <x:v>gen_winter_snow_006.wav</x:v>
      </x:c>
      <x:c r="B17" t="str">
        <x:v>winter_snow</x:v>
      </x:c>
      <x:c r="C17" t="str">
        <x:v>winter snow night</x:v>
      </x:c>
      <x:c r="D17" t="n">
        <x:v>30</x:v>
      </x:c>
      <x:c r="E17" t="str"/>
      <x:c r="F17" t="str"/>
      <x:c r="G17" t="str"/>
      <x:c r="H17" t="str"/>
      <x:c r="I17" s="10" t="str"/>
    </x:row>
    <x:row r="18">
      <x:c r="A18" t="str">
        <x:v>gen_winter_snow_007.wav</x:v>
      </x:c>
      <x:c r="B18" t="str">
        <x:v>winter_snow</x:v>
      </x:c>
      <x:c r="C18" t="str">
        <x:v>winter snow night</x:v>
      </x:c>
      <x:c r="D18" t="n">
        <x:v>30</x:v>
      </x:c>
      <x:c r="E18" t="str"/>
      <x:c r="F18" t="str"/>
      <x:c r="G18" t="str"/>
      <x:c r="H18" t="str"/>
      <x:c r="I18" s="10" t="str"/>
    </x:row>
    <x:row r="19">
      <x:c r="A19" t="str">
        <x:v>gen_winter_snow_008.wav</x:v>
      </x:c>
      <x:c r="B19" t="str">
        <x:v>winter_snow</x:v>
      </x:c>
      <x:c r="C19" t="str">
        <x:v>winter snow night</x:v>
      </x:c>
      <x:c r="D19" t="n">
        <x:v>30</x:v>
      </x:c>
      <x:c r="E19" t="str"/>
      <x:c r="F19" t="str"/>
      <x:c r="G19" t="str"/>
      <x:c r="H19" t="str"/>
      <x:c r="I19" s="10" t="str"/>
    </x:row>
    <x:row r="20">
      <x:c r="A20" t="str">
        <x:v>gen_winter_snow_009.wav</x:v>
      </x:c>
      <x:c r="B20" t="str">
        <x:v>winter_snow</x:v>
      </x:c>
      <x:c r="C20" t="str">
        <x:v>winter snow night</x:v>
      </x:c>
      <x:c r="D20" t="n">
        <x:v>30</x:v>
      </x:c>
      <x:c r="E20" t="str"/>
      <x:c r="F20" t="str"/>
      <x:c r="G20" t="str"/>
      <x:c r="H20" t="str"/>
      <x:c r="I20" s="10" t="str"/>
    </x:row>
    <x:row r="21">
      <x:c r="A21" t="str">
        <x:v>gen_winter_snow_010.wav</x:v>
      </x:c>
      <x:c r="B21" t="str">
        <x:v>winter_snow</x:v>
      </x:c>
      <x:c r="C21" t="str">
        <x:v>winter snow night</x:v>
      </x:c>
      <x:c r="D21" t="n">
        <x:v>30</x:v>
      </x:c>
      <x:c r="E21" t="str"/>
      <x:c r="F21" t="str"/>
      <x:c r="G21" t="str"/>
      <x:c r="H21" t="str"/>
      <x:c r="I21" s="10" t="str"/>
    </x:row>
    <x:row r="22">
      <x:c r="A22" t="str">
        <x:v>gen_forest_bird_001.wav</x:v>
      </x:c>
      <x:c r="B22" t="str">
        <x:v>forest_bird</x:v>
      </x:c>
      <x:c r="C22" t="str">
        <x:v>forest birds morning</x:v>
      </x:c>
      <x:c r="D22" t="n">
        <x:v>30</x:v>
      </x:c>
      <x:c r="E22" t="str"/>
      <x:c r="F22" t="str"/>
      <x:c r="G22" t="str"/>
      <x:c r="H22" t="str"/>
      <x:c r="I22" s="10" t="str"/>
    </x:row>
    <x:row r="23">
      <x:c r="A23" t="str">
        <x:v>gen_forest_bird_002.wav</x:v>
      </x:c>
      <x:c r="B23" t="str">
        <x:v>forest_bird</x:v>
      </x:c>
      <x:c r="C23" t="str">
        <x:v>forest birds morning</x:v>
      </x:c>
      <x:c r="D23" t="n">
        <x:v>30</x:v>
      </x:c>
      <x:c r="E23" t="str"/>
      <x:c r="F23" t="str"/>
      <x:c r="G23" t="str"/>
      <x:c r="H23" t="str"/>
      <x:c r="I23" s="10" t="str"/>
    </x:row>
    <x:row r="24">
      <x:c r="A24" t="str">
        <x:v>gen_forest_bird_003.wav</x:v>
      </x:c>
      <x:c r="B24" t="str">
        <x:v>forest_bird</x:v>
      </x:c>
      <x:c r="C24" t="str">
        <x:v>forest birds morning</x:v>
      </x:c>
      <x:c r="D24" t="n">
        <x:v>30</x:v>
      </x:c>
      <x:c r="E24" t="str"/>
      <x:c r="F24" t="str"/>
      <x:c r="G24" t="str"/>
      <x:c r="H24" t="str"/>
      <x:c r="I24" s="10" t="str"/>
    </x:row>
    <x:row r="25">
      <x:c r="A25" t="str">
        <x:v>gen_forest_bird_004.wav</x:v>
      </x:c>
      <x:c r="B25" t="str">
        <x:v>forest_bird</x:v>
      </x:c>
      <x:c r="C25" t="str">
        <x:v>forest birds morning</x:v>
      </x:c>
      <x:c r="D25" t="n">
        <x:v>30</x:v>
      </x:c>
      <x:c r="E25" t="str"/>
      <x:c r="F25" t="str"/>
      <x:c r="G25" t="str"/>
      <x:c r="H25" t="str"/>
      <x:c r="I25" s="10" t="str"/>
    </x:row>
    <x:row r="26">
      <x:c r="A26" t="str">
        <x:v>gen_forest_bird_005.wav</x:v>
      </x:c>
      <x:c r="B26" t="str">
        <x:v>forest_bird</x:v>
      </x:c>
      <x:c r="C26" t="str">
        <x:v>forest birds morning</x:v>
      </x:c>
      <x:c r="D26" t="n">
        <x:v>30</x:v>
      </x:c>
      <x:c r="E26" t="str"/>
      <x:c r="F26" t="str"/>
      <x:c r="G26" t="str"/>
      <x:c r="H26" t="str"/>
      <x:c r="I26" s="10" t="str"/>
    </x:row>
    <x:row r="27">
      <x:c r="A27" t="str">
        <x:v>gen_forest_bird_006.wav</x:v>
      </x:c>
      <x:c r="B27" t="str">
        <x:v>forest_bird</x:v>
      </x:c>
      <x:c r="C27" t="str">
        <x:v>forest birds morning</x:v>
      </x:c>
      <x:c r="D27" t="n">
        <x:v>30</x:v>
      </x:c>
      <x:c r="E27" t="str"/>
      <x:c r="F27" t="str"/>
      <x:c r="G27" t="str"/>
      <x:c r="H27" t="str"/>
      <x:c r="I27" s="10" t="str"/>
    </x:row>
    <x:row r="28">
      <x:c r="A28" t="str">
        <x:v>gen_forest_bird_007.wav</x:v>
      </x:c>
      <x:c r="B28" t="str">
        <x:v>forest_bird</x:v>
      </x:c>
      <x:c r="C28" t="str">
        <x:v>forest birds morning</x:v>
      </x:c>
      <x:c r="D28" t="n">
        <x:v>30</x:v>
      </x:c>
      <x:c r="E28" t="str"/>
      <x:c r="F28" t="str"/>
      <x:c r="G28" t="str"/>
      <x:c r="H28" t="str"/>
      <x:c r="I28" s="10" t="str"/>
    </x:row>
    <x:row r="29">
      <x:c r="A29" t="str">
        <x:v>gen_forest_bird_008.wav</x:v>
      </x:c>
      <x:c r="B29" t="str">
        <x:v>forest_bird</x:v>
      </x:c>
      <x:c r="C29" t="str">
        <x:v>forest birds morning</x:v>
      </x:c>
      <x:c r="D29" t="n">
        <x:v>30</x:v>
      </x:c>
      <x:c r="E29" t="str"/>
      <x:c r="F29" t="str"/>
      <x:c r="G29" t="str"/>
      <x:c r="H29" t="str"/>
      <x:c r="I29" s="10" t="str"/>
    </x:row>
    <x:row r="30">
      <x:c r="A30" t="str">
        <x:v>gen_forest_bird_009.wav</x:v>
      </x:c>
      <x:c r="B30" t="str">
        <x:v>forest_bird</x:v>
      </x:c>
      <x:c r="C30" t="str">
        <x:v>forest birds morning</x:v>
      </x:c>
      <x:c r="D30" t="n">
        <x:v>30</x:v>
      </x:c>
      <x:c r="E30" t="str"/>
      <x:c r="F30" t="str"/>
      <x:c r="G30" t="str"/>
      <x:c r="H30" t="str"/>
      <x:c r="I30" s="10" t="str"/>
    </x:row>
    <x:row r="31">
      <x:c r="A31" t="str">
        <x:v>gen_forest_bird_010.wav</x:v>
      </x:c>
      <x:c r="B31" t="str">
        <x:v>forest_bird</x:v>
      </x:c>
      <x:c r="C31" t="str">
        <x:v>forest birds morning</x:v>
      </x:c>
      <x:c r="D31" t="n">
        <x:v>30</x:v>
      </x:c>
      <x:c r="E31" t="str"/>
      <x:c r="F31" t="str"/>
      <x:c r="G31" t="str"/>
      <x:c r="H31" t="str"/>
      <x:c r="I31" s="10" t="str"/>
    </x:row>
  </x:sheetData>
  <x:dataValidations count="3">
    <x:dataValidation type="list" sqref="B2:B31">
      <x:formula1>Validation!$A$2:$A$4</x:formula1>
    </x:dataValidation>
    <x:dataValidation type="list" sqref="E2:E31">
      <x:formula1>Validation!$B$2:$B$3</x:formula1>
    </x:dataValidation>
    <x:dataValidation type="list" sqref="F2:F31">
      <x:formula1>Validation!$C$2:$C$11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c418c43f8248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Generated clips</x:v>
      </x:c>
      <x:c r="B2" t="n">
        <x:f>COUNTA(Generation_Audit!A2:A31)</x:f>
        <x:v>30</x:v>
      </x:c>
    </x:row>
    <x:row r="3">
      <x:c r="A3" t="str">
        <x:v>PASS clips</x:v>
      </x:c>
      <x:c r="B3" t="n">
        <x:f>COUNTIF(Generation_Audit!E2:E31,"PASS")</x:f>
        <x:v>0</x:v>
      </x:c>
    </x:row>
    <x:row r="4">
      <x:c r="A4" t="str">
        <x:v>FAIL clips</x:v>
      </x:c>
      <x:c r="B4" t="n">
        <x:f>COUNTIF(Generation_Audit!E2:E31,"FAIL")</x:f>
        <x:v>0</x:v>
      </x:c>
    </x:row>
    <x:row r="5">
      <x:c r="A5" t="str">
        <x:v>Pass rate</x:v>
      </x:c>
      <x:c r="B5" s="16" t="n">
        <x:f>IF(B2=0,0,B3/B2)</x:f>
        <x:v>0</x:v>
      </x:c>
    </x:row>
    <x:row r="6">
      <x:c r="A6" t="str">
        <x:v>Smoke test target</x:v>
      </x:c>
      <x:c r="B6" s="16" t="str">
        <x:v>70%</x:v>
      </x:c>
    </x:row>
    <x:row r="7">
      <x:c r="A7" t="str">
        <x:v>Smoke test result</x:v>
      </x:c>
      <x:c r="B7" t="str">
        <x:f>IF(B5&gt;=0.7,"PASS","FAIL")</x:f>
        <x:v>FAIL</x:v>
      </x:c>
    </x:row>
    <x:row r="10">
      <x:c r="A10" s="13" t="str">
        <x:v>Scene</x:v>
      </x:c>
      <x:c r="B10" s="13" t="str">
        <x:v>Generated Count</x:v>
      </x:c>
      <x:c r="C10" s="13" t="str">
        <x:v>PASS Count</x:v>
      </x:c>
      <x:c r="D10" s="13" t="str">
        <x:v>FAIL Count</x:v>
      </x:c>
      <x:c r="E10" s="13" t="str">
        <x:v>Pass Rate</x:v>
      </x:c>
    </x:row>
    <x:row r="11">
      <x:c r="A11" t="str">
        <x:v>summer_rain</x:v>
      </x:c>
      <x:c r="B11" t="n">
        <x:f>COUNTIF(Generation_Audit!B:B,A11)</x:f>
        <x:v>10</x:v>
      </x:c>
      <x:c r="C11" t="n">
        <x:f>COUNTIFS(Generation_Audit!B:B,A11,Generation_Audit!E:E,"PASS")</x:f>
        <x:v>0</x:v>
      </x:c>
      <x:c r="D11" t="n">
        <x:f>COUNTIFS(Generation_Audit!B:B,A11,Generation_Audit!E:E,"FAIL")</x:f>
        <x:v>0</x:v>
      </x:c>
      <x:c r="E11" s="16" t="n">
        <x:f>IF(B11=0,0,C11/B11)</x:f>
        <x:v>0</x:v>
      </x:c>
    </x:row>
    <x:row r="12">
      <x:c r="A12" t="str">
        <x:v>winter_snow</x:v>
      </x:c>
      <x:c r="B12" t="n">
        <x:f>COUNTIF(Generation_Audit!B:B,A12)</x:f>
        <x:v>10</x:v>
      </x:c>
      <x:c r="C12" t="n">
        <x:f>COUNTIFS(Generation_Audit!B:B,A12,Generation_Audit!E:E,"PASS")</x:f>
        <x:v>0</x:v>
      </x:c>
      <x:c r="D12" t="n">
        <x:f>COUNTIFS(Generation_Audit!B:B,A12,Generation_Audit!E:E,"FAIL")</x:f>
        <x:v>0</x:v>
      </x:c>
      <x:c r="E12" s="16" t="n">
        <x:f>IF(B12=0,0,C12/B12)</x:f>
        <x:v>0</x:v>
      </x:c>
    </x:row>
    <x:row r="13">
      <x:c r="A13" t="str">
        <x:v>forest_bird</x:v>
      </x:c>
      <x:c r="B13" t="n">
        <x:f>COUNTIF(Generation_Audit!B:B,A13)</x:f>
        <x:v>10</x:v>
      </x:c>
      <x:c r="C13" t="n">
        <x:f>COUNTIFS(Generation_Audit!B:B,A13,Generation_Audit!E:E,"PASS")</x:f>
        <x:v>0</x:v>
      </x:c>
      <x:c r="D13" t="n">
        <x:f>COUNTIFS(Generation_Audit!B:B,A13,Generation_Audit!E:E,"FAIL")</x:f>
        <x:v>0</x:v>
      </x:c>
      <x:c r="E13" s="16" t="n">
        <x:f>IF(B13=0,0,C13/B13)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bcf94b1b5c42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3" t="str">
        <x:v>Scenes</x:v>
      </x:c>
      <x:c r="B1" s="13" t="str">
        <x:v>PassFail</x:v>
      </x:c>
      <x:c r="C1" s="13" t="str">
        <x:v>Reasons</x:v>
      </x:c>
    </x:row>
    <x:row r="2">
      <x:c r="A2" t="str">
        <x:v>summer_rain</x:v>
      </x:c>
      <x:c r="B2" t="str">
        <x:v>PASS</x:v>
      </x:c>
      <x:c r="C2" t="str">
        <x:v>合格</x:v>
      </x:c>
    </x:row>
    <x:row r="3">
      <x:c r="A3" t="str">
        <x:v>winter_snow</x:v>
      </x:c>
      <x:c r="B3" t="str">
        <x:v>FAIL</x:v>
      </x:c>
      <x:c r="C3" t="str">
        <x:v>有人声</x:v>
      </x:c>
    </x:row>
    <x:row r="4">
      <x:c r="A4" t="str">
        <x:v>forest_bird</x:v>
      </x:c>
      <x:c r="C4" t="str">
        <x:v>像音乐</x:v>
      </x:c>
    </x:row>
    <x:row r="5">
      <x:c r="C5" t="str">
        <x:v>像机械声</x:v>
      </x:c>
    </x:row>
    <x:row r="6">
      <x:c r="C6" t="str">
        <x:v>像交通声</x:v>
      </x:c>
    </x:row>
    <x:row r="7">
      <x:c r="C7" t="str">
        <x:v>明显杂音</x:v>
      </x:c>
    </x:row>
    <x:row r="8">
      <x:c r="C8" t="str">
        <x:v>不真实</x:v>
      </x:c>
    </x:row>
    <x:row r="9">
      <x:c r="C9" t="str">
        <x:v>场景不符</x:v>
      </x:c>
    </x:row>
    <x:row r="10">
      <x:c r="C10" t="str">
        <x:v>长度异常</x:v>
      </x:c>
    </x:row>
    <x:row r="11">
      <x:c r="C11" t="str">
        <x:v>其他</x:v>
      </x:c>
    </x:row>
  </x:sheetData>
  <x:pageMargins left="0.7" right="0.7" top="0.75" bottom="0.75" header="0.3" footer="0.3"/>
</x:worksheet>
</file>